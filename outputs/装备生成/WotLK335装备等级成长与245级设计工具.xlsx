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器" sheetId="1" state="visible" r:id="rId1"/>
    <sheet name="245样本" sheetId="2" state="visible" r:id="rId2"/>
    <sheet name="拟合参数" sheetId="3" state="visible" r:id="rId3"/>
    <sheet name="245基础护甲" sheetId="4" state="visible" r:id="rId4"/>
  </sheets>
  <definedNames>
    <definedName name="_xlnm._FilterDatabase" localSheetId="1" hidden="1">'245样本'!$A$1:$L$13</definedName>
    <definedName name="_xlnm._FilterDatabase" localSheetId="2" hidden="1">'拟合参数'!$A$1:$G$61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b val="1"/>
      <color rgb="00172554"/>
    </font>
    <font>
      <color rgb="002563EB"/>
    </font>
    <font>
      <b val="1"/>
      <color rgb="00FFFFFF"/>
    </font>
    <font>
      <name val="Arial"/>
      <family val="2"/>
      <color theme="1"/>
      <sz val="11"/>
      <scheme val="minor"/>
    </font>
    <font>
      <name val="Arial"/>
      <b val="1"/>
      <color rgb="00172554"/>
    </font>
    <font>
      <name val="Arial"/>
      <color rgb="002563EB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WorkBuddy</author>
  </authors>
  <commentList>
    <comment ref="B7" authorId="0" shapeId="0">
      <text>
        <t>从“常用 k 值”复制对应类型；不要混用物理、法系和远程。</t>
      </text>
    </comment>
    <comment ref="B9" authorId="0" shapeId="0">
      <text>
        <t>建议从同 subclass、同攻速档的原版武器反算；双手常见约0.20，部分单手约0.30。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WotLK 3.3.5 装备等级成长与 245 级设计器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输入区（黄色单元格可修改）</t>
        </is>
      </c>
      <c r="B3" s="2" t="n"/>
      <c r="C3" s="2" t="n"/>
      <c r="D3" s="3" t="inlineStr">
        <is>
          <t>计算结果</t>
        </is>
      </c>
      <c r="E3" s="2" t="n"/>
      <c r="F3" s="2" t="n"/>
      <c r="G3" s="2" t="n"/>
      <c r="H3" s="2" t="n"/>
    </row>
    <row r="4">
      <c r="A4" s="4" t="inlineStr">
        <is>
          <t>基准装等</t>
        </is>
      </c>
      <c r="B4" s="5" t="n">
        <v>232</v>
      </c>
      <c r="C4" s="2" t="n"/>
      <c r="D4" s="4" t="inlineStr">
        <is>
          <t>目标值</t>
        </is>
      </c>
      <c r="E4" s="4">
        <f>B6*EXP(B7*(B5-B4))</f>
        <v/>
      </c>
      <c r="F4" s="2" t="n"/>
      <c r="G4" s="2" t="n"/>
      <c r="H4" s="2" t="n"/>
    </row>
    <row r="5">
      <c r="A5" s="4" t="inlineStr">
        <is>
          <t>目标装等</t>
        </is>
      </c>
      <c r="B5" s="5" t="n">
        <v>245</v>
      </c>
      <c r="C5" s="2" t="n"/>
      <c r="D5" s="4" t="inlineStr">
        <is>
          <t>每13装等倍率</t>
        </is>
      </c>
      <c r="E5" s="4">
        <f>EXP(B7*13)</f>
        <v/>
      </c>
      <c r="F5" s="2" t="n"/>
      <c r="G5" s="2" t="n"/>
      <c r="H5" s="2" t="n"/>
    </row>
    <row r="6">
      <c r="A6" s="4" t="inlineStr">
        <is>
          <t>基准值</t>
        </is>
      </c>
      <c r="B6" s="5" t="n">
        <v>232.57</v>
      </c>
      <c r="C6" s="2" t="n"/>
      <c r="D6" s="4" t="inlineStr">
        <is>
          <t>平均每击伤害</t>
        </is>
      </c>
      <c r="E6" s="4">
        <f>E4*B8/1000</f>
        <v/>
      </c>
      <c r="F6" s="2" t="n"/>
      <c r="G6" s="2" t="n"/>
      <c r="H6" s="2" t="n"/>
    </row>
    <row r="7">
      <c r="A7" s="4" t="inlineStr">
        <is>
          <t>指数系数 k</t>
        </is>
      </c>
      <c r="B7" s="5" t="n">
        <v>0.00755587</v>
      </c>
      <c r="C7" s="2" t="n"/>
      <c r="D7" s="4" t="inlineStr">
        <is>
          <t>目标最小伤害</t>
        </is>
      </c>
      <c r="E7" s="4">
        <f>ROUND(E6*(1-B9),0)</f>
        <v/>
      </c>
      <c r="F7" s="2" t="n"/>
      <c r="G7" s="2" t="n"/>
      <c r="H7" s="2" t="n"/>
    </row>
    <row r="8">
      <c r="A8" s="4" t="inlineStr">
        <is>
          <t>武器攻速（毫秒）</t>
        </is>
      </c>
      <c r="B8" s="5" t="n">
        <v>3600</v>
      </c>
      <c r="C8" s="2" t="n"/>
      <c r="D8" s="4" t="inlineStr">
        <is>
          <t>目标最大伤害</t>
        </is>
      </c>
      <c r="E8" s="4">
        <f>ROUND(E6*(1+B9),0)</f>
        <v/>
      </c>
      <c r="F8" s="2" t="n"/>
      <c r="G8" s="2" t="n"/>
      <c r="H8" s="2" t="n"/>
    </row>
    <row r="9">
      <c r="A9" s="4" t="inlineStr">
        <is>
          <t>伤害浮动系数 h</t>
        </is>
      </c>
      <c r="B9" s="5" t="n">
        <v>0.2</v>
      </c>
      <c r="C9" s="2" t="n"/>
      <c r="D9" s="4" t="inlineStr">
        <is>
          <t>反算DPS校验</t>
        </is>
      </c>
      <c r="E9" s="4">
        <f>(E7+E8)*500/B8</f>
        <v/>
      </c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常用 k 值（来自本地 acore_world.item_template 拟合）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类型</t>
        </is>
      </c>
      <c r="B12" s="6" t="inlineStr">
        <is>
          <t>k</t>
        </is>
      </c>
      <c r="C12" s="6" t="inlineStr">
        <is>
          <t>每+13装等倍率</t>
        </is>
      </c>
      <c r="D12" s="6" t="inlineStr">
        <is>
          <t>适用说明</t>
        </is>
      </c>
      <c r="E12" s="2" t="n"/>
      <c r="F12" s="2" t="n"/>
      <c r="G12" s="2" t="n"/>
      <c r="H12" s="2" t="n"/>
    </row>
    <row r="13">
      <c r="A13" s="4" t="inlineStr">
        <is>
          <t>物理单手武器 DPS</t>
        </is>
      </c>
      <c r="B13" s="7" t="n">
        <v>0.007401</v>
      </c>
      <c r="C13" s="4">
        <f>EXP(B13*13)</f>
        <v/>
      </c>
      <c r="D13" s="4" t="inlineStr">
        <is>
          <t>史诗品质 213–284</t>
        </is>
      </c>
      <c r="E13" s="2" t="n"/>
      <c r="F13" s="2" t="n"/>
      <c r="G13" s="2" t="n"/>
      <c r="H13" s="2" t="n"/>
    </row>
    <row r="14">
      <c r="A14" s="4" t="inlineStr">
        <is>
          <t>物理双手武器 DPS</t>
        </is>
      </c>
      <c r="B14" s="7" t="n">
        <v>0.00755587</v>
      </c>
      <c r="C14" s="4">
        <f>EXP(B14*13)</f>
        <v/>
      </c>
      <c r="D14" s="4" t="inlineStr">
        <is>
          <t>史诗品质 213–284</t>
        </is>
      </c>
      <c r="E14" s="2" t="n"/>
      <c r="F14" s="2" t="n"/>
      <c r="G14" s="2" t="n"/>
      <c r="H14" s="2" t="n"/>
    </row>
    <row r="15">
      <c r="A15" s="4" t="inlineStr">
        <is>
          <t>法系单手武器白字 DPS</t>
        </is>
      </c>
      <c r="B15" s="7" t="n">
        <v>0.00838706</v>
      </c>
      <c r="C15" s="4">
        <f>EXP(B15*13)</f>
        <v/>
      </c>
      <c r="D15" s="4" t="inlineStr">
        <is>
          <t>仅白字伤害，不含法强预算</t>
        </is>
      </c>
      <c r="E15" s="2" t="n"/>
      <c r="F15" s="2" t="n"/>
      <c r="G15" s="2" t="n"/>
      <c r="H15" s="2" t="n"/>
    </row>
    <row r="16">
      <c r="A16" s="4" t="inlineStr">
        <is>
          <t>法系双手武器白字 DPS</t>
        </is>
      </c>
      <c r="B16" s="7" t="n">
        <v>0.00831458</v>
      </c>
      <c r="C16" s="4">
        <f>EXP(B16*13)</f>
        <v/>
      </c>
      <c r="D16" s="4" t="inlineStr">
        <is>
          <t>仅白字伤害，不含法强预算</t>
        </is>
      </c>
      <c r="E16" s="2" t="n"/>
      <c r="F16" s="2" t="n"/>
      <c r="G16" s="2" t="n"/>
      <c r="H16" s="2" t="n"/>
    </row>
    <row r="17">
      <c r="A17" s="4" t="inlineStr">
        <is>
          <t>弓/弩/枪 DPS</t>
        </is>
      </c>
      <c r="B17" s="7" t="n">
        <v>0.01058689</v>
      </c>
      <c r="C17" s="4">
        <f>EXP(B17*13)</f>
        <v/>
      </c>
      <c r="D17" s="4" t="inlineStr">
        <is>
          <t>225附近存在档位跳变</t>
        </is>
      </c>
      <c r="E17" s="2" t="n"/>
      <c r="F17" s="2" t="n"/>
      <c r="G17" s="2" t="n"/>
      <c r="H17" s="2" t="n"/>
    </row>
    <row r="18">
      <c r="A18" s="4" t="inlineStr">
        <is>
          <t>魔杖 DPS</t>
        </is>
      </c>
      <c r="B18" s="7" t="n">
        <v>0.00754776</v>
      </c>
      <c r="C18" s="4">
        <f>EXP(B18*13)</f>
        <v/>
      </c>
      <c r="D18" s="4" t="inlineStr">
        <is>
          <t>史诗品质样本</t>
        </is>
      </c>
      <c r="E18" s="2" t="n"/>
      <c r="F18" s="2" t="n"/>
      <c r="G18" s="2" t="n"/>
      <c r="H18" s="2" t="n"/>
    </row>
    <row r="19">
      <c r="A19" s="4" t="inlineStr">
        <is>
          <t>常规基础护甲</t>
        </is>
      </c>
      <c r="B19" s="7" t="n">
        <v>0.0029</v>
      </c>
      <c r="C19" s="4">
        <f>EXP(B19*13)</f>
        <v/>
      </c>
      <c r="D19" s="4" t="inlineStr">
        <is>
          <t>布/皮/锁/板多数槽位</t>
        </is>
      </c>
      <c r="E19" s="2" t="n"/>
      <c r="F19" s="2" t="n"/>
      <c r="G19" s="2" t="n"/>
      <c r="H19" s="2" t="n"/>
    </row>
    <row r="20">
      <c r="A20" s="4" t="inlineStr">
        <is>
          <t>普通属性总预算（近似）</t>
        </is>
      </c>
      <c r="B20" s="7" t="n">
        <v>0.00733</v>
      </c>
      <c r="C20" s="4">
        <f>EXP(B20*13)</f>
        <v/>
      </c>
      <c r="D20" s="4" t="inlineStr">
        <is>
          <t>先约+10%，再按245原版模板校准</t>
        </is>
      </c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3" t="inlineStr">
        <is>
          <t>使用说明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8" t="inlineStr">
        <is>
          <t>1. 若目标是245，优先使用“245样本”中的同类型原版装备作为锚点。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8" t="inlineStr">
        <is>
          <t>2. 目标值公式：基准值 × EXP(k × (目标装等-基准装等))。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3. 武器伤害：平均每击=DPS×攻速/1000，再按同 subclass 的 h 拆成最小/最大伤害。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8" t="inlineStr">
        <is>
          <t>4. 属性不能每条都机械同比增加；插槽、触发特效、套装与韧性都会占预算。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8" t="inlineStr">
        <is>
          <t>5. 所有公式只适用于普通WotLK史诗装备的213–284区间，测试/自定义装备已排除。</t>
        </is>
      </c>
      <c r="B27" s="2" t="n"/>
      <c r="C27" s="2" t="n"/>
      <c r="D27" s="2" t="n"/>
      <c r="E27" s="2" t="n"/>
      <c r="F27" s="2" t="n"/>
      <c r="G27" s="2" t="n"/>
      <c r="H27" s="2" t="n"/>
    </row>
  </sheetData>
  <mergeCells count="6">
    <mergeCell ref="A26:H26"/>
    <mergeCell ref="A25:H25"/>
    <mergeCell ref="A24:H24"/>
    <mergeCell ref="A1:H1"/>
    <mergeCell ref="A23:H23"/>
    <mergeCell ref="A27:H2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8" customWidth="1" min="12" max="12"/>
  </cols>
  <sheetData>
    <row r="1">
      <c r="A1" s="6" t="inlineStr">
        <is>
          <t>用途</t>
        </is>
      </c>
      <c r="B1" s="6" t="inlineStr">
        <is>
          <t>entry</t>
        </is>
      </c>
      <c r="C1" s="6" t="inlineStr">
        <is>
          <t>名称</t>
        </is>
      </c>
      <c r="D1" s="6" t="inlineStr">
        <is>
          <t>类型</t>
        </is>
      </c>
      <c r="E1" s="6" t="inlineStr">
        <is>
          <t>装等</t>
        </is>
      </c>
      <c r="F1" s="6" t="inlineStr">
        <is>
          <t>攻速秒</t>
        </is>
      </c>
      <c r="G1" s="6" t="inlineStr">
        <is>
          <t>最小伤害</t>
        </is>
      </c>
      <c r="H1" s="6" t="inlineStr">
        <is>
          <t>最大伤害</t>
        </is>
      </c>
      <c r="I1" s="6" t="inlineStr">
        <is>
          <t>DPS</t>
        </is>
      </c>
      <c r="J1" s="6" t="inlineStr">
        <is>
          <t>护甲</t>
        </is>
      </c>
      <c r="K1" s="6" t="inlineStr">
        <is>
          <t>插槽数</t>
        </is>
      </c>
      <c r="L1" s="6" t="inlineStr">
        <is>
          <t>属性</t>
        </is>
      </c>
    </row>
    <row r="2">
      <c r="A2" s="4" t="inlineStr">
        <is>
          <t>物理单手（慢速）</t>
        </is>
      </c>
      <c r="B2" s="4" t="n">
        <v>47148</v>
      </c>
      <c r="C2" s="4" t="inlineStr">
        <is>
          <t>雷矛利斧</t>
        </is>
      </c>
      <c r="D2" s="4" t="inlineStr">
        <is>
          <t>物理单手武器</t>
        </is>
      </c>
      <c r="E2" s="4" t="n">
        <v>245</v>
      </c>
      <c r="F2" s="4" t="n">
        <v>2.6</v>
      </c>
      <c r="G2" s="4" t="n">
        <v>357</v>
      </c>
      <c r="H2" s="4" t="n">
        <v>665</v>
      </c>
      <c r="I2" s="4" t="n">
        <v>196.54</v>
      </c>
      <c r="J2" s="4" t="inlineStr"/>
      <c r="K2" s="4" t="n">
        <v>0</v>
      </c>
      <c r="L2" s="4" t="inlineStr">
        <is>
          <t>攻击强度+78；敏捷+58；耐力+58；急速等级+39；命中等级+39</t>
        </is>
      </c>
    </row>
    <row r="3">
      <c r="A3" s="4" t="inlineStr">
        <is>
          <t>物理单手（敏捷）</t>
        </is>
      </c>
      <c r="B3" s="4" t="n">
        <v>46958</v>
      </c>
      <c r="C3" s="4" t="inlineStr">
        <is>
          <t>钢铁碎刃短刀</t>
        </is>
      </c>
      <c r="D3" s="4" t="inlineStr">
        <is>
          <t>物理单手武器</t>
        </is>
      </c>
      <c r="E3" s="4" t="n">
        <v>245</v>
      </c>
      <c r="F3" s="4" t="n">
        <v>1.4</v>
      </c>
      <c r="G3" s="4" t="n">
        <v>220</v>
      </c>
      <c r="H3" s="4" t="n">
        <v>330</v>
      </c>
      <c r="I3" s="4" t="n">
        <v>196.43</v>
      </c>
      <c r="J3" s="4" t="inlineStr"/>
      <c r="K3" s="4" t="n">
        <v>0</v>
      </c>
      <c r="L3" s="4" t="inlineStr">
        <is>
          <t>攻击强度+89；敏捷+58；耐力+58；暴击等级+44；护甲穿透等级+30</t>
        </is>
      </c>
    </row>
    <row r="4">
      <c r="A4" s="4" t="inlineStr">
        <is>
          <t>物理双手（力量）</t>
        </is>
      </c>
      <c r="B4" s="4" t="n">
        <v>47069</v>
      </c>
      <c r="C4" s="4" t="inlineStr">
        <is>
          <t>公正使者</t>
        </is>
      </c>
      <c r="D4" s="4" t="inlineStr">
        <is>
          <t>物理双手武器</t>
        </is>
      </c>
      <c r="E4" s="4" t="n">
        <v>245</v>
      </c>
      <c r="F4" s="4" t="n">
        <v>3.6</v>
      </c>
      <c r="G4" s="4" t="n">
        <v>736</v>
      </c>
      <c r="H4" s="4" t="n">
        <v>1105</v>
      </c>
      <c r="I4" s="4" t="n">
        <v>255.69</v>
      </c>
      <c r="J4" s="4" t="inlineStr"/>
      <c r="K4" s="4" t="n">
        <v>1</v>
      </c>
      <c r="L4" s="4" t="inlineStr">
        <is>
          <t>力量+147；耐力+155；暴击等级+90；护甲穿透等级+82</t>
        </is>
      </c>
    </row>
    <row r="5">
      <c r="A5" s="4" t="inlineStr">
        <is>
          <t>物理双手（敏捷）</t>
        </is>
      </c>
      <c r="B5" s="4" t="n">
        <v>47233</v>
      </c>
      <c r="C5" s="4" t="inlineStr">
        <is>
          <t>执政长刀</t>
        </is>
      </c>
      <c r="D5" s="4" t="inlineStr">
        <is>
          <t>物理双手武器</t>
        </is>
      </c>
      <c r="E5" s="4" t="n">
        <v>245</v>
      </c>
      <c r="F5" s="4" t="n">
        <v>3.5</v>
      </c>
      <c r="G5" s="4" t="n">
        <v>715</v>
      </c>
      <c r="H5" s="4" t="n">
        <v>1074</v>
      </c>
      <c r="I5" s="4" t="n">
        <v>255.57</v>
      </c>
      <c r="J5" s="4" t="inlineStr"/>
      <c r="K5" s="4" t="n">
        <v>1</v>
      </c>
      <c r="L5" s="4" t="inlineStr">
        <is>
          <t>攻击强度+165；敏捷+128；耐力+136；暴击等级+90；护甲穿透等级+90</t>
        </is>
      </c>
    </row>
    <row r="6">
      <c r="A6" s="4" t="inlineStr">
        <is>
          <t>法系双手</t>
        </is>
      </c>
      <c r="B6" s="4" t="n">
        <v>47968</v>
      </c>
      <c r="C6" s="4" t="inlineStr">
        <is>
          <t>凝霜</t>
        </is>
      </c>
      <c r="D6" s="4" t="inlineStr">
        <is>
          <t>法系双手武器</t>
        </is>
      </c>
      <c r="E6" s="4" t="n">
        <v>245</v>
      </c>
      <c r="F6" s="4" t="n">
        <v>2.1</v>
      </c>
      <c r="G6" s="4" t="n">
        <v>254</v>
      </c>
      <c r="H6" s="4" t="n">
        <v>469</v>
      </c>
      <c r="I6" s="4" t="n">
        <v>172.14</v>
      </c>
      <c r="J6" s="4" t="inlineStr"/>
      <c r="K6" s="4" t="n">
        <v>2</v>
      </c>
      <c r="L6" s="4" t="inlineStr">
        <is>
          <t>法术强度+621；耐力+103；智力+120；暴击等级+95；急速等级+128</t>
        </is>
      </c>
    </row>
    <row r="7">
      <c r="A7" s="4" t="inlineStr">
        <is>
          <t>法系单手</t>
        </is>
      </c>
      <c r="B7" s="4" t="n">
        <v>47193</v>
      </c>
      <c r="C7" s="4" t="inlineStr">
        <is>
          <t>哀难的终结</t>
        </is>
      </c>
      <c r="D7" s="4" t="inlineStr">
        <is>
          <t>法系单手武器</t>
        </is>
      </c>
      <c r="E7" s="4" t="n">
        <v>245</v>
      </c>
      <c r="F7" s="4" t="n">
        <v>1.8</v>
      </c>
      <c r="G7" s="4" t="n">
        <v>97</v>
      </c>
      <c r="H7" s="4" t="n">
        <v>310</v>
      </c>
      <c r="I7" s="4" t="n">
        <v>113.06</v>
      </c>
      <c r="J7" s="4" t="inlineStr"/>
      <c r="K7" s="4" t="n">
        <v>0</v>
      </c>
      <c r="L7" s="4" t="inlineStr">
        <is>
          <t>法术强度+621；耐力+58；智力+58；急速等级+58；暴击等级+39</t>
        </is>
      </c>
    </row>
    <row r="8">
      <c r="A8" s="4" t="inlineStr">
        <is>
          <t>远程武器</t>
        </is>
      </c>
      <c r="B8" s="4" t="n">
        <v>46994</v>
      </c>
      <c r="C8" s="4" t="inlineStr">
        <is>
          <t>利爪之击</t>
        </is>
      </c>
      <c r="D8" s="4" t="inlineStr">
        <is>
          <t>弓弩枪</t>
        </is>
      </c>
      <c r="E8" s="4" t="n">
        <v>245</v>
      </c>
      <c r="F8" s="4" t="n">
        <v>2.8</v>
      </c>
      <c r="G8" s="4" t="n">
        <v>495</v>
      </c>
      <c r="H8" s="4" t="n">
        <v>694</v>
      </c>
      <c r="I8" s="4" t="n">
        <v>212.32</v>
      </c>
      <c r="J8" s="4" t="inlineStr"/>
      <c r="K8" s="4" t="n">
        <v>0</v>
      </c>
      <c r="L8" s="4" t="inlineStr">
        <is>
          <t>攻击强度+57；敏捷+43；耐力+43；急速等级+28；护甲穿透等级+28</t>
        </is>
      </c>
    </row>
    <row r="9">
      <c r="A9" s="4" t="inlineStr">
        <is>
          <t>布甲头部</t>
        </is>
      </c>
      <c r="B9" s="4" t="n">
        <v>47692</v>
      </c>
      <c r="C9" s="4" t="inlineStr">
        <is>
          <t>燃烬复仇罩帽</t>
        </is>
      </c>
      <c r="D9" s="4" t="inlineStr">
        <is>
          <t>布甲/头部</t>
        </is>
      </c>
      <c r="E9" s="4" t="n">
        <v>245</v>
      </c>
      <c r="F9" s="4" t="inlineStr"/>
      <c r="G9" s="4" t="inlineStr"/>
      <c r="H9" s="4" t="inlineStr"/>
      <c r="I9" s="4" t="inlineStr"/>
      <c r="J9" s="4" t="n">
        <v>269</v>
      </c>
      <c r="K9" s="4" t="n">
        <v>2</v>
      </c>
      <c r="L9" s="4" t="inlineStr">
        <is>
          <t>法术强度+131；耐力+103；智力+103；急速等级+82；命中等级+74</t>
        </is>
      </c>
    </row>
    <row r="10">
      <c r="A10" s="4" t="inlineStr">
        <is>
          <t>板甲头部</t>
        </is>
      </c>
      <c r="B10" s="4" t="n">
        <v>47674</v>
      </c>
      <c r="C10" s="4" t="inlineStr">
        <is>
          <t>雷霆之怒头盔</t>
        </is>
      </c>
      <c r="D10" s="4" t="inlineStr">
        <is>
          <t>板甲/头部</t>
        </is>
      </c>
      <c r="E10" s="4" t="n">
        <v>245</v>
      </c>
      <c r="F10" s="4" t="inlineStr"/>
      <c r="G10" s="4" t="inlineStr"/>
      <c r="H10" s="4" t="inlineStr"/>
      <c r="I10" s="4" t="inlineStr"/>
      <c r="J10" s="4" t="n">
        <v>2009</v>
      </c>
      <c r="K10" s="4" t="n">
        <v>2</v>
      </c>
      <c r="L10" s="4" t="inlineStr">
        <is>
          <t>力量+131；耐力+155；暴击等级+74；护甲穿透等级+82</t>
        </is>
      </c>
    </row>
    <row r="11">
      <c r="A11" s="4" t="inlineStr">
        <is>
          <t>板甲坦克头部</t>
        </is>
      </c>
      <c r="B11" s="4" t="n">
        <v>47677</v>
      </c>
      <c r="C11" s="4" t="inlineStr">
        <is>
          <t>荣光面甲</t>
        </is>
      </c>
      <c r="D11" s="4" t="inlineStr">
        <is>
          <t>板甲/头部</t>
        </is>
      </c>
      <c r="E11" s="4" t="n">
        <v>245</v>
      </c>
      <c r="F11" s="4" t="inlineStr"/>
      <c r="G11" s="4" t="inlineStr"/>
      <c r="H11" s="4" t="inlineStr"/>
      <c r="I11" s="4" t="inlineStr"/>
      <c r="J11" s="4" t="n">
        <v>2009</v>
      </c>
      <c r="K11" s="4" t="n">
        <v>2</v>
      </c>
      <c r="L11" s="4" t="inlineStr">
        <is>
          <t>力量+103；耐力+168；防御等级+82；精准等级+69；躲闪等级+74</t>
        </is>
      </c>
    </row>
    <row r="12">
      <c r="A12" s="4" t="inlineStr">
        <is>
          <t>皮甲胸部</t>
        </is>
      </c>
      <c r="B12" s="4" t="n">
        <v>47000</v>
      </c>
      <c r="C12" s="4" t="inlineStr">
        <is>
          <t>厄运胸甲</t>
        </is>
      </c>
      <c r="D12" s="4" t="inlineStr">
        <is>
          <t>皮甲/胸甲</t>
        </is>
      </c>
      <c r="E12" s="4" t="n">
        <v>245</v>
      </c>
      <c r="F12" s="4" t="inlineStr"/>
      <c r="G12" s="4" t="inlineStr"/>
      <c r="H12" s="4" t="inlineStr"/>
      <c r="I12" s="4" t="inlineStr"/>
      <c r="J12" s="4" t="n">
        <v>623</v>
      </c>
      <c r="K12" s="4" t="n">
        <v>2</v>
      </c>
      <c r="L12" s="4" t="inlineStr">
        <is>
          <t>攻击强度+149；敏捷+120；耐力+136；暴击等级+90；急速等级+90</t>
        </is>
      </c>
    </row>
    <row r="13">
      <c r="A13" s="4" t="inlineStr">
        <is>
          <t>锁甲胸部</t>
        </is>
      </c>
      <c r="B13" s="4" t="n">
        <v>47204</v>
      </c>
      <c r="C13" s="4" t="inlineStr">
        <is>
          <t>元素流动胸甲</t>
        </is>
      </c>
      <c r="D13" s="4" t="inlineStr">
        <is>
          <t>锁甲/胸甲</t>
        </is>
      </c>
      <c r="E13" s="4" t="n">
        <v>245</v>
      </c>
      <c r="F13" s="4" t="inlineStr"/>
      <c r="G13" s="4" t="inlineStr"/>
      <c r="H13" s="4" t="inlineStr"/>
      <c r="I13" s="4" t="inlineStr"/>
      <c r="J13" s="4" t="n">
        <v>1384</v>
      </c>
      <c r="K13" s="4" t="n">
        <v>2</v>
      </c>
      <c r="L13" s="4" t="inlineStr">
        <is>
          <t>法术强度+140；耐力+103；智力+103；暴击等级+74；每5秒法力回复+45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8" customWidth="1" min="4" max="4"/>
    <col width="14" customWidth="1" min="5" max="5"/>
    <col width="14" customWidth="1" min="6" max="6"/>
    <col width="48" customWidth="1" min="7" max="7"/>
  </cols>
  <sheetData>
    <row r="1">
      <c r="A1" s="6" t="inlineStr">
        <is>
          <t>指标</t>
        </is>
      </c>
      <c r="B1" s="6" t="inlineStr">
        <is>
          <t>分类</t>
        </is>
      </c>
      <c r="C1" s="6" t="inlineStr">
        <is>
          <t>指数系数k</t>
        </is>
      </c>
      <c r="D1" s="6" t="inlineStr">
        <is>
          <t>每13装等倍率</t>
        </is>
      </c>
      <c r="E1" s="6" t="inlineStr">
        <is>
          <t>R²</t>
        </is>
      </c>
      <c r="F1" s="6" t="inlineStr">
        <is>
          <t>等级点数</t>
        </is>
      </c>
      <c r="G1" s="6" t="inlineStr">
        <is>
          <t>推荐公式</t>
        </is>
      </c>
    </row>
    <row r="2">
      <c r="A2" s="4" t="inlineStr">
        <is>
          <t>武器DPS</t>
        </is>
      </c>
      <c r="B2" s="4" t="inlineStr">
        <is>
          <t>弓弩枪</t>
        </is>
      </c>
      <c r="C2" s="4" t="n">
        <v>0.01058689</v>
      </c>
      <c r="D2" s="4" t="n">
        <v>1.14755</v>
      </c>
      <c r="E2" s="4" t="n">
        <v>0.9824564335132389</v>
      </c>
      <c r="F2" s="4" t="n">
        <v>14</v>
      </c>
      <c r="G2" s="4" t="inlineStr">
        <is>
          <t>目标值=基准值*EXP(k*(目标装等-基准装等))</t>
        </is>
      </c>
    </row>
    <row r="3">
      <c r="A3" s="4" t="inlineStr">
        <is>
          <t>武器DPS</t>
        </is>
      </c>
      <c r="B3" s="4" t="inlineStr">
        <is>
          <t>投掷武器</t>
        </is>
      </c>
      <c r="C3" s="4" t="n">
        <v>0.00723926</v>
      </c>
      <c r="D3" s="4" t="n">
        <v>1.09868</v>
      </c>
      <c r="E3" s="4" t="n">
        <v>0.999721543175603</v>
      </c>
      <c r="F3" s="4" t="n">
        <v>5</v>
      </c>
      <c r="G3" s="4" t="inlineStr">
        <is>
          <t>目标值=基准值*EXP(k*(目标装等-基准装等))</t>
        </is>
      </c>
    </row>
    <row r="4">
      <c r="A4" s="4" t="inlineStr">
        <is>
          <t>武器DPS</t>
        </is>
      </c>
      <c r="B4" s="4" t="inlineStr">
        <is>
          <t>法系单手武器</t>
        </is>
      </c>
      <c r="C4" s="4" t="n">
        <v>0.00838706</v>
      </c>
      <c r="D4" s="4" t="n">
        <v>1.1152</v>
      </c>
      <c r="E4" s="4" t="n">
        <v>0.980187550183044</v>
      </c>
      <c r="F4" s="4" t="n">
        <v>14</v>
      </c>
      <c r="G4" s="4" t="inlineStr">
        <is>
          <t>目标值=基准值*EXP(k*(目标装等-基准装等))</t>
        </is>
      </c>
    </row>
    <row r="5">
      <c r="A5" s="4" t="inlineStr">
        <is>
          <t>武器DPS</t>
        </is>
      </c>
      <c r="B5" s="4" t="inlineStr">
        <is>
          <t>法系双手武器</t>
        </is>
      </c>
      <c r="C5" s="4" t="n">
        <v>0.00831458</v>
      </c>
      <c r="D5" s="4" t="n">
        <v>1.11415</v>
      </c>
      <c r="E5" s="4" t="n">
        <v>0.9893250064885417</v>
      </c>
      <c r="F5" s="4" t="n">
        <v>13</v>
      </c>
      <c r="G5" s="4" t="inlineStr">
        <is>
          <t>目标值=基准值*EXP(k*(目标装等-基准装等))</t>
        </is>
      </c>
    </row>
    <row r="6">
      <c r="A6" s="4" t="inlineStr">
        <is>
          <t>武器DPS</t>
        </is>
      </c>
      <c r="B6" s="4" t="inlineStr">
        <is>
          <t>物理单手武器</t>
        </is>
      </c>
      <c r="C6" s="4" t="n">
        <v>0.007401</v>
      </c>
      <c r="D6" s="4" t="n">
        <v>1.10099</v>
      </c>
      <c r="E6" s="4" t="n">
        <v>0.999554393494943</v>
      </c>
      <c r="F6" s="4" t="n">
        <v>14</v>
      </c>
      <c r="G6" s="4" t="inlineStr">
        <is>
          <t>目标值=基准值*EXP(k*(目标装等-基准装等))</t>
        </is>
      </c>
    </row>
    <row r="7">
      <c r="A7" s="4" t="inlineStr">
        <is>
          <t>武器DPS</t>
        </is>
      </c>
      <c r="B7" s="4" t="inlineStr">
        <is>
          <t>物理双手武器</t>
        </is>
      </c>
      <c r="C7" s="4" t="n">
        <v>0.00755587</v>
      </c>
      <c r="D7" s="4" t="n">
        <v>1.10321</v>
      </c>
      <c r="E7" s="4" t="n">
        <v>0.9973723777200239</v>
      </c>
      <c r="F7" s="4" t="n">
        <v>14</v>
      </c>
      <c r="G7" s="4" t="inlineStr">
        <is>
          <t>目标值=基准值*EXP(k*(目标装等-基准装等))</t>
        </is>
      </c>
    </row>
    <row r="8">
      <c r="A8" s="4" t="inlineStr">
        <is>
          <t>武器DPS</t>
        </is>
      </c>
      <c r="B8" s="4" t="inlineStr">
        <is>
          <t>魔杖</t>
        </is>
      </c>
      <c r="C8" s="4" t="n">
        <v>0.00754776</v>
      </c>
      <c r="D8" s="4" t="n">
        <v>1.1031</v>
      </c>
      <c r="E8" s="4" t="n">
        <v>0.9854444807759708</v>
      </c>
      <c r="F8" s="4" t="n">
        <v>9</v>
      </c>
      <c r="G8" s="4" t="inlineStr">
        <is>
          <t>目标值=基准值*EXP(k*(目标装等-基准装等))</t>
        </is>
      </c>
    </row>
    <row r="9">
      <c r="A9" s="4" t="inlineStr">
        <is>
          <t>基础护甲</t>
        </is>
      </c>
      <c r="B9" s="4" t="inlineStr">
        <is>
          <t>布甲/头部</t>
        </is>
      </c>
      <c r="C9" s="4" t="n">
        <v>0.00286856</v>
      </c>
      <c r="D9" s="4" t="n">
        <v>1.038</v>
      </c>
      <c r="E9" s="4" t="n">
        <v>0.9777719978250445</v>
      </c>
      <c r="F9" s="4" t="n">
        <v>13</v>
      </c>
      <c r="G9" s="4" t="inlineStr">
        <is>
          <t>目标值=基准值*EXP(k*(目标装等-基准装等))</t>
        </is>
      </c>
    </row>
    <row r="10">
      <c r="A10" s="4" t="inlineStr">
        <is>
          <t>基础护甲</t>
        </is>
      </c>
      <c r="B10" s="4" t="inlineStr">
        <is>
          <t>布甲/手部</t>
        </is>
      </c>
      <c r="C10" s="4" t="n">
        <v>0.00291177</v>
      </c>
      <c r="D10" s="4" t="n">
        <v>1.03858</v>
      </c>
      <c r="E10" s="4" t="n">
        <v>0.9823488400829834</v>
      </c>
      <c r="F10" s="4" t="n">
        <v>13</v>
      </c>
      <c r="G10" s="4" t="inlineStr">
        <is>
          <t>目标值=基准值*EXP(k*(目标装等-基准装等))</t>
        </is>
      </c>
    </row>
    <row r="11">
      <c r="A11" s="4" t="inlineStr">
        <is>
          <t>基础护甲</t>
        </is>
      </c>
      <c r="B11" s="4" t="inlineStr">
        <is>
          <t>布甲/披风</t>
        </is>
      </c>
      <c r="C11" s="4" t="n">
        <v>0.0029959</v>
      </c>
      <c r="D11" s="4" t="n">
        <v>1.03972</v>
      </c>
      <c r="E11" s="4" t="n">
        <v>0.9882296070127191</v>
      </c>
      <c r="F11" s="4" t="n">
        <v>15</v>
      </c>
      <c r="G11" s="4" t="inlineStr">
        <is>
          <t>目标值=基准值*EXP(k*(目标装等-基准装等))</t>
        </is>
      </c>
    </row>
    <row r="12">
      <c r="A12" s="4" t="inlineStr">
        <is>
          <t>基础护甲</t>
        </is>
      </c>
      <c r="B12" s="4" t="inlineStr">
        <is>
          <t>布甲/肩部</t>
        </is>
      </c>
      <c r="C12" s="4" t="n">
        <v>0.00289415</v>
      </c>
      <c r="D12" s="4" t="n">
        <v>1.03834</v>
      </c>
      <c r="E12" s="4" t="n">
        <v>0.983518236296493</v>
      </c>
      <c r="F12" s="4" t="n">
        <v>12</v>
      </c>
      <c r="G12" s="4" t="inlineStr">
        <is>
          <t>目标值=基准值*EXP(k*(目标装等-基准装等))</t>
        </is>
      </c>
    </row>
    <row r="13">
      <c r="A13" s="4" t="inlineStr">
        <is>
          <t>基础护甲</t>
        </is>
      </c>
      <c r="B13" s="4" t="inlineStr">
        <is>
          <t>布甲/脚部</t>
        </is>
      </c>
      <c r="C13" s="4" t="n">
        <v>0.01716851</v>
      </c>
      <c r="D13" s="4" t="n">
        <v>1.25006</v>
      </c>
      <c r="E13" s="4" t="n">
        <v>0.3757093050339033</v>
      </c>
      <c r="F13" s="4" t="n">
        <v>11</v>
      </c>
      <c r="G13" s="4" t="inlineStr">
        <is>
          <t>目标值=基准值*EXP(k*(目标装等-基准装等))</t>
        </is>
      </c>
    </row>
    <row r="14">
      <c r="A14" s="4" t="inlineStr">
        <is>
          <t>基础护甲</t>
        </is>
      </c>
      <c r="B14" s="4" t="inlineStr">
        <is>
          <t>布甲/腕部</t>
        </is>
      </c>
      <c r="C14" s="4" t="n">
        <v>0.002929</v>
      </c>
      <c r="D14" s="4" t="n">
        <v>1.03881</v>
      </c>
      <c r="E14" s="4" t="n">
        <v>0.9829732751329956</v>
      </c>
      <c r="F14" s="4" t="n">
        <v>14</v>
      </c>
      <c r="G14" s="4" t="inlineStr">
        <is>
          <t>目标值=基准值*EXP(k*(目标装等-基准装等))</t>
        </is>
      </c>
    </row>
    <row r="15">
      <c r="A15" s="4" t="inlineStr">
        <is>
          <t>基础护甲</t>
        </is>
      </c>
      <c r="B15" s="4" t="inlineStr">
        <is>
          <t>布甲/腰部</t>
        </is>
      </c>
      <c r="C15" s="4" t="n">
        <v>0.01120257</v>
      </c>
      <c r="D15" s="4" t="n">
        <v>1.15677</v>
      </c>
      <c r="E15" s="4" t="n">
        <v>0.3531470277976027</v>
      </c>
      <c r="F15" s="4" t="n">
        <v>14</v>
      </c>
      <c r="G15" s="4" t="inlineStr">
        <is>
          <t>目标值=基准值*EXP(k*(目标装等-基准装等))</t>
        </is>
      </c>
    </row>
    <row r="16">
      <c r="A16" s="4" t="inlineStr">
        <is>
          <t>基础护甲</t>
        </is>
      </c>
      <c r="B16" s="4" t="inlineStr">
        <is>
          <t>布甲/腿部</t>
        </is>
      </c>
      <c r="C16" s="4" t="n">
        <v>0.00289824</v>
      </c>
      <c r="D16" s="4" t="n">
        <v>1.0384</v>
      </c>
      <c r="E16" s="4" t="n">
        <v>0.9824929580654849</v>
      </c>
      <c r="F16" s="4" t="n">
        <v>13</v>
      </c>
      <c r="G16" s="4" t="inlineStr">
        <is>
          <t>目标值=基准值*EXP(k*(目标装等-基准装等))</t>
        </is>
      </c>
    </row>
    <row r="17">
      <c r="A17" s="4" t="inlineStr">
        <is>
          <t>基础护甲</t>
        </is>
      </c>
      <c r="B17" s="4" t="inlineStr">
        <is>
          <t>布甲/长袍</t>
        </is>
      </c>
      <c r="C17" s="4" t="n">
        <v>0.00288729</v>
      </c>
      <c r="D17" s="4" t="n">
        <v>1.03825</v>
      </c>
      <c r="E17" s="4" t="n">
        <v>0.9812336015551589</v>
      </c>
      <c r="F17" s="4" t="n">
        <v>12</v>
      </c>
      <c r="G17" s="4" t="inlineStr">
        <is>
          <t>目标值=基准值*EXP(k*(目标装等-基准装等))</t>
        </is>
      </c>
    </row>
    <row r="18">
      <c r="A18" s="4" t="inlineStr">
        <is>
          <t>基础护甲</t>
        </is>
      </c>
      <c r="B18" s="4" t="inlineStr">
        <is>
          <t>板甲/头部</t>
        </is>
      </c>
      <c r="C18" s="4" t="n">
        <v>0.00289461</v>
      </c>
      <c r="D18" s="4" t="n">
        <v>1.03835</v>
      </c>
      <c r="E18" s="4" t="n">
        <v>0.9796178349572174</v>
      </c>
      <c r="F18" s="4" t="n">
        <v>12</v>
      </c>
      <c r="G18" s="4" t="inlineStr">
        <is>
          <t>目标值=基准值*EXP(k*(目标装等-基准装等))</t>
        </is>
      </c>
    </row>
    <row r="19">
      <c r="A19" s="4" t="inlineStr">
        <is>
          <t>基础护甲</t>
        </is>
      </c>
      <c r="B19" s="4" t="inlineStr">
        <is>
          <t>板甲/手部</t>
        </is>
      </c>
      <c r="C19" s="4" t="n">
        <v>0.00290145</v>
      </c>
      <c r="D19" s="4" t="n">
        <v>1.03844</v>
      </c>
      <c r="E19" s="4" t="n">
        <v>0.9789839507822734</v>
      </c>
      <c r="F19" s="4" t="n">
        <v>12</v>
      </c>
      <c r="G19" s="4" t="inlineStr">
        <is>
          <t>目标值=基准值*EXP(k*(目标装等-基准装等))</t>
        </is>
      </c>
    </row>
    <row r="20">
      <c r="A20" s="4" t="inlineStr">
        <is>
          <t>基础护甲</t>
        </is>
      </c>
      <c r="B20" s="4" t="inlineStr">
        <is>
          <t>板甲/肩部</t>
        </is>
      </c>
      <c r="C20" s="4" t="n">
        <v>0.0028842</v>
      </c>
      <c r="D20" s="4" t="n">
        <v>1.03821</v>
      </c>
      <c r="E20" s="4" t="n">
        <v>0.983460990547358</v>
      </c>
      <c r="F20" s="4" t="n">
        <v>11</v>
      </c>
      <c r="G20" s="4" t="inlineStr">
        <is>
          <t>目标值=基准值*EXP(k*(目标装等-基准装等))</t>
        </is>
      </c>
    </row>
    <row r="21">
      <c r="A21" s="4" t="inlineStr">
        <is>
          <t>基础护甲</t>
        </is>
      </c>
      <c r="B21" s="4" t="inlineStr">
        <is>
          <t>板甲/胸甲</t>
        </is>
      </c>
      <c r="C21" s="4" t="n">
        <v>0.00289663</v>
      </c>
      <c r="D21" s="4" t="n">
        <v>1.03837</v>
      </c>
      <c r="E21" s="4" t="n">
        <v>0.9795653427537211</v>
      </c>
      <c r="F21" s="4" t="n">
        <v>12</v>
      </c>
      <c r="G21" s="4" t="inlineStr">
        <is>
          <t>目标值=基准值*EXP(k*(目标装等-基准装等))</t>
        </is>
      </c>
    </row>
    <row r="22">
      <c r="A22" s="4" t="inlineStr">
        <is>
          <t>基础护甲</t>
        </is>
      </c>
      <c r="B22" s="4" t="inlineStr">
        <is>
          <t>板甲/脚部</t>
        </is>
      </c>
      <c r="C22" s="4" t="n">
        <v>0.0029591</v>
      </c>
      <c r="D22" s="4" t="n">
        <v>1.03922</v>
      </c>
      <c r="E22" s="4" t="n">
        <v>0.9835845338515803</v>
      </c>
      <c r="F22" s="4" t="n">
        <v>13</v>
      </c>
      <c r="G22" s="4" t="inlineStr">
        <is>
          <t>目标值=基准值*EXP(k*(目标装等-基准装等))</t>
        </is>
      </c>
    </row>
    <row r="23">
      <c r="A23" s="4" t="inlineStr">
        <is>
          <t>基础护甲</t>
        </is>
      </c>
      <c r="B23" s="4" t="inlineStr">
        <is>
          <t>板甲/腕部</t>
        </is>
      </c>
      <c r="C23" s="4" t="n">
        <v>0.002889</v>
      </c>
      <c r="D23" s="4" t="n">
        <v>1.03827</v>
      </c>
      <c r="E23" s="4" t="n">
        <v>0.9833720966852266</v>
      </c>
      <c r="F23" s="4" t="n">
        <v>12</v>
      </c>
      <c r="G23" s="4" t="inlineStr">
        <is>
          <t>目标值=基准值*EXP(k*(目标装等-基准装等))</t>
        </is>
      </c>
    </row>
    <row r="24">
      <c r="A24" s="4" t="inlineStr">
        <is>
          <t>基础护甲</t>
        </is>
      </c>
      <c r="B24" s="4" t="inlineStr">
        <is>
          <t>板甲/腰部</t>
        </is>
      </c>
      <c r="C24" s="4" t="n">
        <v>0.00289354</v>
      </c>
      <c r="D24" s="4" t="n">
        <v>1.03833</v>
      </c>
      <c r="E24" s="4" t="n">
        <v>0.9793276549878265</v>
      </c>
      <c r="F24" s="4" t="n">
        <v>12</v>
      </c>
      <c r="G24" s="4" t="inlineStr">
        <is>
          <t>目标值=基准值*EXP(k*(目标装等-基准装等))</t>
        </is>
      </c>
    </row>
    <row r="25">
      <c r="A25" s="4" t="inlineStr">
        <is>
          <t>基础护甲</t>
        </is>
      </c>
      <c r="B25" s="4" t="inlineStr">
        <is>
          <t>板甲/腿部</t>
        </is>
      </c>
      <c r="C25" s="4" t="n">
        <v>0.00289458</v>
      </c>
      <c r="D25" s="4" t="n">
        <v>1.03835</v>
      </c>
      <c r="E25" s="4" t="n">
        <v>0.9792743437053206</v>
      </c>
      <c r="F25" s="4" t="n">
        <v>12</v>
      </c>
      <c r="G25" s="4" t="inlineStr">
        <is>
          <t>目标值=基准值*EXP(k*(目标装等-基准装等))</t>
        </is>
      </c>
    </row>
    <row r="26">
      <c r="A26" s="4" t="inlineStr">
        <is>
          <t>基础护甲</t>
        </is>
      </c>
      <c r="B26" s="4" t="inlineStr">
        <is>
          <t>皮甲/头部</t>
        </is>
      </c>
      <c r="C26" s="4" t="n">
        <v>0.00288215</v>
      </c>
      <c r="D26" s="4" t="n">
        <v>1.03818</v>
      </c>
      <c r="E26" s="4" t="n">
        <v>0.9834849517785782</v>
      </c>
      <c r="F26" s="4" t="n">
        <v>11</v>
      </c>
      <c r="G26" s="4" t="inlineStr">
        <is>
          <t>目标值=基准值*EXP(k*(目标装等-基准装等))</t>
        </is>
      </c>
    </row>
    <row r="27">
      <c r="A27" s="4" t="inlineStr">
        <is>
          <t>基础护甲</t>
        </is>
      </c>
      <c r="B27" s="4" t="inlineStr">
        <is>
          <t>皮甲/手部</t>
        </is>
      </c>
      <c r="C27" s="4" t="n">
        <v>0.00291572</v>
      </c>
      <c r="D27" s="4" t="n">
        <v>1.03863</v>
      </c>
      <c r="E27" s="4" t="n">
        <v>0.9851366313824368</v>
      </c>
      <c r="F27" s="4" t="n">
        <v>13</v>
      </c>
      <c r="G27" s="4" t="inlineStr">
        <is>
          <t>目标值=基准值*EXP(k*(目标装等-基准装等))</t>
        </is>
      </c>
    </row>
    <row r="28">
      <c r="A28" s="4" t="inlineStr">
        <is>
          <t>基础护甲</t>
        </is>
      </c>
      <c r="B28" s="4" t="inlineStr">
        <is>
          <t>皮甲/肩部</t>
        </is>
      </c>
      <c r="C28" s="4" t="n">
        <v>0.00292261</v>
      </c>
      <c r="D28" s="4" t="n">
        <v>1.03872</v>
      </c>
      <c r="E28" s="4" t="n">
        <v>0.9790479317729446</v>
      </c>
      <c r="F28" s="4" t="n">
        <v>12</v>
      </c>
      <c r="G28" s="4" t="inlineStr">
        <is>
          <t>目标值=基准值*EXP(k*(目标装等-基准装等))</t>
        </is>
      </c>
    </row>
    <row r="29">
      <c r="A29" s="4" t="inlineStr">
        <is>
          <t>基础护甲</t>
        </is>
      </c>
      <c r="B29" s="4" t="inlineStr">
        <is>
          <t>皮甲/胸甲</t>
        </is>
      </c>
      <c r="C29" s="4" t="n">
        <v>0.0029272</v>
      </c>
      <c r="D29" s="4" t="n">
        <v>1.03879</v>
      </c>
      <c r="E29" s="4" t="n">
        <v>0.98098394718171</v>
      </c>
      <c r="F29" s="4" t="n">
        <v>13</v>
      </c>
      <c r="G29" s="4" t="inlineStr">
        <is>
          <t>目标值=基准值*EXP(k*(目标装等-基准装等))</t>
        </is>
      </c>
    </row>
    <row r="30">
      <c r="A30" s="4" t="inlineStr">
        <is>
          <t>基础护甲</t>
        </is>
      </c>
      <c r="B30" s="4" t="inlineStr">
        <is>
          <t>皮甲/脚部</t>
        </is>
      </c>
      <c r="C30" s="4" t="n">
        <v>0.00834591</v>
      </c>
      <c r="D30" s="4" t="n">
        <v>1.1146</v>
      </c>
      <c r="E30" s="4" t="n">
        <v>0.4860943604598162</v>
      </c>
      <c r="F30" s="4" t="n">
        <v>11</v>
      </c>
      <c r="G30" s="4" t="inlineStr">
        <is>
          <t>目标值=基准值*EXP(k*(目标装等-基准装等))</t>
        </is>
      </c>
    </row>
    <row r="31">
      <c r="A31" s="4" t="inlineStr">
        <is>
          <t>基础护甲</t>
        </is>
      </c>
      <c r="B31" s="4" t="inlineStr">
        <is>
          <t>皮甲/腕部</t>
        </is>
      </c>
      <c r="C31" s="4" t="n">
        <v>0.00292613</v>
      </c>
      <c r="D31" s="4" t="n">
        <v>1.03877</v>
      </c>
      <c r="E31" s="4" t="n">
        <v>0.9885360870137165</v>
      </c>
      <c r="F31" s="4" t="n">
        <v>13</v>
      </c>
      <c r="G31" s="4" t="inlineStr">
        <is>
          <t>目标值=基准值*EXP(k*(目标装等-基准装等))</t>
        </is>
      </c>
    </row>
    <row r="32">
      <c r="A32" s="4" t="inlineStr">
        <is>
          <t>基础护甲</t>
        </is>
      </c>
      <c r="B32" s="4" t="inlineStr">
        <is>
          <t>皮甲/腰部</t>
        </is>
      </c>
      <c r="C32" s="4" t="n">
        <v>0.00286026</v>
      </c>
      <c r="D32" s="4" t="n">
        <v>1.03788</v>
      </c>
      <c r="E32" s="4" t="n">
        <v>0.9805647844301585</v>
      </c>
      <c r="F32" s="4" t="n">
        <v>11</v>
      </c>
      <c r="G32" s="4" t="inlineStr">
        <is>
          <t>目标值=基准值*EXP(k*(目标装等-基准装等))</t>
        </is>
      </c>
    </row>
    <row r="33">
      <c r="A33" s="4" t="inlineStr">
        <is>
          <t>基础护甲</t>
        </is>
      </c>
      <c r="B33" s="4" t="inlineStr">
        <is>
          <t>皮甲/腿部</t>
        </is>
      </c>
      <c r="C33" s="4" t="n">
        <v>0.00292473</v>
      </c>
      <c r="D33" s="4" t="n">
        <v>1.03875</v>
      </c>
      <c r="E33" s="4" t="n">
        <v>0.9800595683075941</v>
      </c>
      <c r="F33" s="4" t="n">
        <v>12</v>
      </c>
      <c r="G33" s="4" t="inlineStr">
        <is>
          <t>目标值=基准值*EXP(k*(目标装等-基准装等))</t>
        </is>
      </c>
    </row>
    <row r="34">
      <c r="A34" s="4" t="inlineStr">
        <is>
          <t>基础护甲</t>
        </is>
      </c>
      <c r="B34" s="4" t="inlineStr">
        <is>
          <t>皮甲/长袍</t>
        </is>
      </c>
      <c r="C34" s="4" t="n">
        <v>0.00296352</v>
      </c>
      <c r="D34" s="4" t="n">
        <v>1.03928</v>
      </c>
      <c r="E34" s="4" t="n">
        <v>0.983811704876124</v>
      </c>
      <c r="F34" s="4" t="n">
        <v>11</v>
      </c>
      <c r="G34" s="4" t="inlineStr">
        <is>
          <t>目标值=基准值*EXP(k*(目标装等-基准装等))</t>
        </is>
      </c>
    </row>
    <row r="35">
      <c r="A35" s="4" t="inlineStr">
        <is>
          <t>基础护甲</t>
        </is>
      </c>
      <c r="B35" s="4" t="inlineStr">
        <is>
          <t>盾牌/盾牌</t>
        </is>
      </c>
      <c r="C35" s="4" t="n">
        <v>0.00289559</v>
      </c>
      <c r="D35" s="4" t="n">
        <v>1.03836</v>
      </c>
      <c r="E35" s="4" t="n">
        <v>0.9793248435533364</v>
      </c>
      <c r="F35" s="4" t="n">
        <v>12</v>
      </c>
      <c r="G35" s="4" t="inlineStr">
        <is>
          <t>目标值=基准值*EXP(k*(目标装等-基准装等))</t>
        </is>
      </c>
    </row>
    <row r="36">
      <c r="A36" s="4" t="inlineStr">
        <is>
          <t>基础护甲</t>
        </is>
      </c>
      <c r="B36" s="4" t="inlineStr">
        <is>
          <t>锁甲/头部</t>
        </is>
      </c>
      <c r="C36" s="4" t="n">
        <v>0.0028913</v>
      </c>
      <c r="D36" s="4" t="n">
        <v>1.0383</v>
      </c>
      <c r="E36" s="4" t="n">
        <v>0.9787873701833384</v>
      </c>
      <c r="F36" s="4" t="n">
        <v>12</v>
      </c>
      <c r="G36" s="4" t="inlineStr">
        <is>
          <t>目标值=基准值*EXP(k*(目标装等-基准装等))</t>
        </is>
      </c>
    </row>
    <row r="37">
      <c r="A37" s="4" t="inlineStr">
        <is>
          <t>基础护甲</t>
        </is>
      </c>
      <c r="B37" s="4" t="inlineStr">
        <is>
          <t>锁甲/手部</t>
        </is>
      </c>
      <c r="C37" s="4" t="n">
        <v>0.00289203</v>
      </c>
      <c r="D37" s="4" t="n">
        <v>1.03831</v>
      </c>
      <c r="E37" s="4" t="n">
        <v>0.9784453470297115</v>
      </c>
      <c r="F37" s="4" t="n">
        <v>12</v>
      </c>
      <c r="G37" s="4" t="inlineStr">
        <is>
          <t>目标值=基准值*EXP(k*(目标装等-基准装等))</t>
        </is>
      </c>
    </row>
    <row r="38">
      <c r="A38" s="4" t="inlineStr">
        <is>
          <t>基础护甲</t>
        </is>
      </c>
      <c r="B38" s="4" t="inlineStr">
        <is>
          <t>锁甲/肩部</t>
        </is>
      </c>
      <c r="C38" s="4" t="n">
        <v>0.0029131</v>
      </c>
      <c r="D38" s="4" t="n">
        <v>1.0386</v>
      </c>
      <c r="E38" s="4" t="n">
        <v>0.985721495867959</v>
      </c>
      <c r="F38" s="4" t="n">
        <v>13</v>
      </c>
      <c r="G38" s="4" t="inlineStr">
        <is>
          <t>目标值=基准值*EXP(k*(目标装等-基准装等))</t>
        </is>
      </c>
    </row>
    <row r="39">
      <c r="A39" s="4" t="inlineStr">
        <is>
          <t>基础护甲</t>
        </is>
      </c>
      <c r="B39" s="4" t="inlineStr">
        <is>
          <t>锁甲/胸甲</t>
        </is>
      </c>
      <c r="C39" s="4" t="n">
        <v>0.00287069</v>
      </c>
      <c r="D39" s="4" t="n">
        <v>1.03802</v>
      </c>
      <c r="E39" s="4" t="n">
        <v>0.9802955583134135</v>
      </c>
      <c r="F39" s="4" t="n">
        <v>12</v>
      </c>
      <c r="G39" s="4" t="inlineStr">
        <is>
          <t>目标值=基准值*EXP(k*(目标装等-基准装等))</t>
        </is>
      </c>
    </row>
    <row r="40">
      <c r="A40" s="4" t="inlineStr">
        <is>
          <t>基础护甲</t>
        </is>
      </c>
      <c r="B40" s="4" t="inlineStr">
        <is>
          <t>锁甲/脚部</t>
        </is>
      </c>
      <c r="C40" s="4" t="n">
        <v>0.00290223</v>
      </c>
      <c r="D40" s="4" t="n">
        <v>1.03845</v>
      </c>
      <c r="E40" s="4" t="n">
        <v>0.9795451682866474</v>
      </c>
      <c r="F40" s="4" t="n">
        <v>12</v>
      </c>
      <c r="G40" s="4" t="inlineStr">
        <is>
          <t>目标值=基准值*EXP(k*(目标装等-基准装等))</t>
        </is>
      </c>
    </row>
    <row r="41">
      <c r="A41" s="4" t="inlineStr">
        <is>
          <t>基础护甲</t>
        </is>
      </c>
      <c r="B41" s="4" t="inlineStr">
        <is>
          <t>锁甲/腕部</t>
        </is>
      </c>
      <c r="C41" s="4" t="n">
        <v>0.00285575</v>
      </c>
      <c r="D41" s="4" t="n">
        <v>1.03782</v>
      </c>
      <c r="E41" s="4" t="n">
        <v>0.9756060069402098</v>
      </c>
      <c r="F41" s="4" t="n">
        <v>11</v>
      </c>
      <c r="G41" s="4" t="inlineStr">
        <is>
          <t>目标值=基准值*EXP(k*(目标装等-基准装等))</t>
        </is>
      </c>
    </row>
    <row r="42">
      <c r="A42" s="4" t="inlineStr">
        <is>
          <t>基础护甲</t>
        </is>
      </c>
      <c r="B42" s="4" t="inlineStr">
        <is>
          <t>锁甲/腰部</t>
        </is>
      </c>
      <c r="C42" s="4" t="n">
        <v>0.00287977</v>
      </c>
      <c r="D42" s="4" t="n">
        <v>1.03815</v>
      </c>
      <c r="E42" s="4" t="n">
        <v>0.9832089006715587</v>
      </c>
      <c r="F42" s="4" t="n">
        <v>11</v>
      </c>
      <c r="G42" s="4" t="inlineStr">
        <is>
          <t>目标值=基准值*EXP(k*(目标装等-基准装等))</t>
        </is>
      </c>
    </row>
    <row r="43">
      <c r="A43" s="4" t="inlineStr">
        <is>
          <t>基础护甲</t>
        </is>
      </c>
      <c r="B43" s="4" t="inlineStr">
        <is>
          <t>锁甲/腿部</t>
        </is>
      </c>
      <c r="C43" s="4" t="n">
        <v>0.00288208</v>
      </c>
      <c r="D43" s="4" t="n">
        <v>1.03818</v>
      </c>
      <c r="E43" s="4" t="n">
        <v>0.9838673425598906</v>
      </c>
      <c r="F43" s="4" t="n">
        <v>11</v>
      </c>
      <c r="G43" s="4" t="inlineStr">
        <is>
          <t>目标值=基准值*EXP(k*(目标装等-基准装等))</t>
        </is>
      </c>
    </row>
    <row r="44">
      <c r="A44" s="4" t="inlineStr">
        <is>
          <t>基础护甲</t>
        </is>
      </c>
      <c r="B44" s="4" t="inlineStr">
        <is>
          <t>锁甲/长袍</t>
        </is>
      </c>
      <c r="C44" s="4" t="n">
        <v>0.00300221</v>
      </c>
      <c r="D44" s="4" t="n">
        <v>1.0398</v>
      </c>
      <c r="E44" s="4" t="n">
        <v>0.9864111171814662</v>
      </c>
      <c r="F44" s="4" t="n">
        <v>5</v>
      </c>
      <c r="G44" s="4" t="inlineStr">
        <is>
          <t>目标值=基准值*EXP(k*(目标装等-基准装等))</t>
        </is>
      </c>
    </row>
    <row r="45">
      <c r="A45" s="4" t="inlineStr">
        <is>
          <t>属性近似</t>
        </is>
      </c>
      <c r="B45" s="4" t="inlineStr">
        <is>
          <t>敏捷</t>
        </is>
      </c>
      <c r="C45" s="4" t="n">
        <v>0.01368363</v>
      </c>
      <c r="D45" s="4" t="n">
        <v>1.19469</v>
      </c>
      <c r="E45" s="4" t="inlineStr"/>
      <c r="F45" s="4" t="n">
        <v>15</v>
      </c>
      <c r="G45" s="4" t="inlineStr">
        <is>
          <t>目标值=基准值*EXP(k*(目标装等-基准装等))</t>
        </is>
      </c>
    </row>
    <row r="46">
      <c r="A46" s="4" t="inlineStr">
        <is>
          <t>属性近似</t>
        </is>
      </c>
      <c r="B46" s="4" t="inlineStr">
        <is>
          <t>力量</t>
        </is>
      </c>
      <c r="C46" s="4" t="n">
        <v>0.01023712</v>
      </c>
      <c r="D46" s="4" t="n">
        <v>1.14234</v>
      </c>
      <c r="E46" s="4" t="inlineStr"/>
      <c r="F46" s="4" t="n">
        <v>24</v>
      </c>
      <c r="G46" s="4" t="inlineStr">
        <is>
          <t>目标值=基准值*EXP(k*(目标装等-基准装等))</t>
        </is>
      </c>
    </row>
    <row r="47">
      <c r="A47" s="4" t="inlineStr">
        <is>
          <t>属性近似</t>
        </is>
      </c>
      <c r="B47" s="4" t="inlineStr">
        <is>
          <t>智力</t>
        </is>
      </c>
      <c r="C47" s="4" t="n">
        <v>0.01013598</v>
      </c>
      <c r="D47" s="4" t="n">
        <v>1.14084</v>
      </c>
      <c r="E47" s="4" t="inlineStr"/>
      <c r="F47" s="4" t="n">
        <v>18</v>
      </c>
      <c r="G47" s="4" t="inlineStr">
        <is>
          <t>目标值=基准值*EXP(k*(目标装等-基准装等))</t>
        </is>
      </c>
    </row>
    <row r="48">
      <c r="A48" s="4" t="inlineStr">
        <is>
          <t>属性近似</t>
        </is>
      </c>
      <c r="B48" s="4" t="inlineStr">
        <is>
          <t>精神</t>
        </is>
      </c>
      <c r="C48" s="4" t="n">
        <v>0.00980056</v>
      </c>
      <c r="D48" s="4" t="n">
        <v>1.13588</v>
      </c>
      <c r="E48" s="4" t="inlineStr"/>
      <c r="F48" s="4" t="n">
        <v>10</v>
      </c>
      <c r="G48" s="4" t="inlineStr">
        <is>
          <t>目标值=基准值*EXP(k*(目标装等-基准装等))</t>
        </is>
      </c>
    </row>
    <row r="49">
      <c r="A49" s="4" t="inlineStr">
        <is>
          <t>属性近似</t>
        </is>
      </c>
      <c r="B49" s="4" t="inlineStr">
        <is>
          <t>耐力</t>
        </is>
      </c>
      <c r="C49" s="4" t="n">
        <v>0.00939838</v>
      </c>
      <c r="D49" s="4" t="n">
        <v>1.12996</v>
      </c>
      <c r="E49" s="4" t="inlineStr"/>
      <c r="F49" s="4" t="n">
        <v>48</v>
      </c>
      <c r="G49" s="4" t="inlineStr">
        <is>
          <t>目标值=基准值*EXP(k*(目标装等-基准装等))</t>
        </is>
      </c>
    </row>
    <row r="50">
      <c r="A50" s="4" t="inlineStr">
        <is>
          <t>属性近似</t>
        </is>
      </c>
      <c r="B50" s="4" t="inlineStr">
        <is>
          <t>防御等级</t>
        </is>
      </c>
      <c r="C50" s="4" t="n">
        <v>0.00879858</v>
      </c>
      <c r="D50" s="4" t="n">
        <v>1.12118</v>
      </c>
      <c r="E50" s="4" t="inlineStr"/>
      <c r="F50" s="4" t="n">
        <v>11</v>
      </c>
      <c r="G50" s="4" t="inlineStr">
        <is>
          <t>目标值=基准值*EXP(k*(目标装等-基准装等))</t>
        </is>
      </c>
    </row>
    <row r="51">
      <c r="A51" s="4" t="inlineStr">
        <is>
          <t>属性近似</t>
        </is>
      </c>
      <c r="B51" s="4" t="inlineStr">
        <is>
          <t>躲闪等级</t>
        </is>
      </c>
      <c r="C51" s="4" t="n">
        <v>0.0074151</v>
      </c>
      <c r="D51" s="4" t="n">
        <v>1.1012</v>
      </c>
      <c r="E51" s="4" t="inlineStr"/>
      <c r="F51" s="4" t="n">
        <v>3</v>
      </c>
      <c r="G51" s="4" t="inlineStr">
        <is>
          <t>目标值=基准值*EXP(k*(目标装等-基准装等))</t>
        </is>
      </c>
    </row>
    <row r="52">
      <c r="A52" s="4" t="inlineStr">
        <is>
          <t>属性近似</t>
        </is>
      </c>
      <c r="B52" s="4" t="inlineStr">
        <is>
          <t>招架等级</t>
        </is>
      </c>
      <c r="C52" s="4" t="n">
        <v>0.009474730000000001</v>
      </c>
      <c r="D52" s="4" t="n">
        <v>1.13108</v>
      </c>
      <c r="E52" s="4" t="inlineStr"/>
      <c r="F52" s="4" t="n">
        <v>6</v>
      </c>
      <c r="G52" s="4" t="inlineStr">
        <is>
          <t>目标值=基准值*EXP(k*(目标装等-基准装等))</t>
        </is>
      </c>
    </row>
    <row r="53">
      <c r="A53" s="4" t="inlineStr">
        <is>
          <t>属性近似</t>
        </is>
      </c>
      <c r="B53" s="4" t="inlineStr">
        <is>
          <t>命中等级</t>
        </is>
      </c>
      <c r="C53" s="4" t="n">
        <v>0.00999456</v>
      </c>
      <c r="D53" s="4" t="n">
        <v>1.13875</v>
      </c>
      <c r="E53" s="4" t="inlineStr"/>
      <c r="F53" s="4" t="n">
        <v>20</v>
      </c>
      <c r="G53" s="4" t="inlineStr">
        <is>
          <t>目标值=基准值*EXP(k*(目标装等-基准装等))</t>
        </is>
      </c>
    </row>
    <row r="54">
      <c r="A54" s="4" t="inlineStr">
        <is>
          <t>属性近似</t>
        </is>
      </c>
      <c r="B54" s="4" t="inlineStr">
        <is>
          <t>暴击等级</t>
        </is>
      </c>
      <c r="C54" s="4" t="n">
        <v>0.00971821</v>
      </c>
      <c r="D54" s="4" t="n">
        <v>1.13466</v>
      </c>
      <c r="E54" s="4" t="inlineStr"/>
      <c r="F54" s="4" t="n">
        <v>34</v>
      </c>
      <c r="G54" s="4" t="inlineStr">
        <is>
          <t>目标值=基准值*EXP(k*(目标装等-基准装等))</t>
        </is>
      </c>
    </row>
    <row r="55">
      <c r="A55" s="4" t="inlineStr">
        <is>
          <t>属性近似</t>
        </is>
      </c>
      <c r="B55" s="4" t="inlineStr">
        <is>
          <t>韧性等级</t>
        </is>
      </c>
      <c r="C55" s="4" t="n">
        <v>0.009689440000000001</v>
      </c>
      <c r="D55" s="4" t="n">
        <v>1.13424</v>
      </c>
      <c r="E55" s="4" t="inlineStr"/>
      <c r="F55" s="4" t="n">
        <v>5</v>
      </c>
      <c r="G55" s="4" t="inlineStr">
        <is>
          <t>目标值=基准值*EXP(k*(目标装等-基准装等))</t>
        </is>
      </c>
    </row>
    <row r="56">
      <c r="A56" s="4" t="inlineStr">
        <is>
          <t>属性近似</t>
        </is>
      </c>
      <c r="B56" s="4" t="inlineStr">
        <is>
          <t>急速等级</t>
        </is>
      </c>
      <c r="C56" s="4" t="n">
        <v>0.00831172</v>
      </c>
      <c r="D56" s="4" t="n">
        <v>1.11411</v>
      </c>
      <c r="E56" s="4" t="inlineStr"/>
      <c r="F56" s="4" t="n">
        <v>27</v>
      </c>
      <c r="G56" s="4" t="inlineStr">
        <is>
          <t>目标值=基准值*EXP(k*(目标装等-基准装等))</t>
        </is>
      </c>
    </row>
    <row r="57">
      <c r="A57" s="4" t="inlineStr">
        <is>
          <t>属性近似</t>
        </is>
      </c>
      <c r="B57" s="4" t="inlineStr">
        <is>
          <t>精准等级</t>
        </is>
      </c>
      <c r="C57" s="4" t="n">
        <v>0.009089119999999999</v>
      </c>
      <c r="D57" s="4" t="n">
        <v>1.12542</v>
      </c>
      <c r="E57" s="4" t="inlineStr"/>
      <c r="F57" s="4" t="n">
        <v>7</v>
      </c>
      <c r="G57" s="4" t="inlineStr">
        <is>
          <t>目标值=基准值*EXP(k*(目标装等-基准装等))</t>
        </is>
      </c>
    </row>
    <row r="58">
      <c r="A58" s="4" t="inlineStr">
        <is>
          <t>属性近似</t>
        </is>
      </c>
      <c r="B58" s="4" t="inlineStr">
        <is>
          <t>攻击强度</t>
        </is>
      </c>
      <c r="C58" s="4" t="n">
        <v>0.00657337</v>
      </c>
      <c r="D58" s="4" t="n">
        <v>1.08921</v>
      </c>
      <c r="E58" s="4" t="inlineStr"/>
      <c r="F58" s="4" t="n">
        <v>9</v>
      </c>
      <c r="G58" s="4" t="inlineStr">
        <is>
          <t>目标值=基准值*EXP(k*(目标装等-基准装等))</t>
        </is>
      </c>
    </row>
    <row r="59">
      <c r="A59" s="4" t="inlineStr">
        <is>
          <t>属性近似</t>
        </is>
      </c>
      <c r="B59" s="4" t="inlineStr">
        <is>
          <t>每5秒法力回复</t>
        </is>
      </c>
      <c r="C59" s="4" t="n">
        <v>0.009773220000000001</v>
      </c>
      <c r="D59" s="4" t="n">
        <v>1.13548</v>
      </c>
      <c r="E59" s="4" t="inlineStr"/>
      <c r="F59" s="4" t="n">
        <v>9</v>
      </c>
      <c r="G59" s="4" t="inlineStr">
        <is>
          <t>目标值=基准值*EXP(k*(目标装等-基准装等))</t>
        </is>
      </c>
    </row>
    <row r="60">
      <c r="A60" s="4" t="inlineStr">
        <is>
          <t>属性近似</t>
        </is>
      </c>
      <c r="B60" s="4" t="inlineStr">
        <is>
          <t>护甲穿透等级</t>
        </is>
      </c>
      <c r="C60" s="4" t="n">
        <v>0.00835108</v>
      </c>
      <c r="D60" s="4" t="n">
        <v>1.11468</v>
      </c>
      <c r="E60" s="4" t="inlineStr"/>
      <c r="F60" s="4" t="n">
        <v>12</v>
      </c>
      <c r="G60" s="4" t="inlineStr">
        <is>
          <t>目标值=基准值*EXP(k*(目标装等-基准装等))</t>
        </is>
      </c>
    </row>
    <row r="61">
      <c r="A61" s="4" t="inlineStr">
        <is>
          <t>属性近似</t>
        </is>
      </c>
      <c r="B61" s="4" t="inlineStr">
        <is>
          <t>法术强度</t>
        </is>
      </c>
      <c r="C61" s="4" t="n">
        <v>0.008631059999999999</v>
      </c>
      <c r="D61" s="4" t="n">
        <v>1.11874</v>
      </c>
      <c r="E61" s="4" t="inlineStr"/>
      <c r="F61" s="4" t="n">
        <v>19</v>
      </c>
      <c r="G61" s="4" t="inlineStr">
        <is>
          <t>目标值=基准值*EXP(k*(目标装等-基准装等))</t>
        </is>
      </c>
    </row>
  </sheetData>
  <autoFilter ref="A1:G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槽位</t>
        </is>
      </c>
      <c r="B1" s="6" t="inlineStr">
        <is>
          <t>布甲</t>
        </is>
      </c>
      <c r="C1" s="6" t="inlineStr">
        <is>
          <t>皮甲</t>
        </is>
      </c>
      <c r="D1" s="6" t="inlineStr">
        <is>
          <t>锁甲</t>
        </is>
      </c>
      <c r="E1" s="6" t="inlineStr">
        <is>
          <t>板甲</t>
        </is>
      </c>
    </row>
    <row r="2">
      <c r="A2" s="4" t="inlineStr">
        <is>
          <t>头部</t>
        </is>
      </c>
      <c r="B2" s="4" t="n">
        <v>269</v>
      </c>
      <c r="C2" s="4" t="n">
        <v>506</v>
      </c>
      <c r="D2" s="4" t="n">
        <v>1124</v>
      </c>
      <c r="E2" s="4" t="n">
        <v>2009</v>
      </c>
    </row>
    <row r="3">
      <c r="A3" s="4" t="inlineStr">
        <is>
          <t>肩部</t>
        </is>
      </c>
      <c r="B3" s="4" t="n">
        <v>248</v>
      </c>
      <c r="C3" s="4" t="n">
        <v>467</v>
      </c>
      <c r="D3" s="4" t="n">
        <v>1038</v>
      </c>
      <c r="E3" s="4" t="n">
        <v>1854</v>
      </c>
    </row>
    <row r="4">
      <c r="A4" s="4" t="inlineStr">
        <is>
          <t>胸甲/长袍</t>
        </is>
      </c>
      <c r="B4" s="4" t="n">
        <v>331</v>
      </c>
      <c r="C4" s="4" t="n">
        <v>623</v>
      </c>
      <c r="D4" s="4" t="n">
        <v>1384</v>
      </c>
      <c r="E4" s="4" t="n">
        <v>2473</v>
      </c>
    </row>
    <row r="5">
      <c r="A5" s="4" t="inlineStr">
        <is>
          <t>腰部</t>
        </is>
      </c>
      <c r="B5" s="4" t="n">
        <v>186</v>
      </c>
      <c r="C5" s="4" t="n">
        <v>350</v>
      </c>
      <c r="D5" s="4" t="n">
        <v>778</v>
      </c>
      <c r="E5" s="4" t="n">
        <v>1391</v>
      </c>
    </row>
    <row r="6">
      <c r="A6" s="4" t="inlineStr">
        <is>
          <t>腿部</t>
        </is>
      </c>
      <c r="B6" s="4" t="n">
        <v>290</v>
      </c>
      <c r="C6" s="4" t="n">
        <v>545</v>
      </c>
      <c r="D6" s="4" t="n">
        <v>1211</v>
      </c>
      <c r="E6" s="4" t="n">
        <v>2164</v>
      </c>
    </row>
    <row r="7">
      <c r="A7" s="4" t="inlineStr">
        <is>
          <t>脚部</t>
        </is>
      </c>
      <c r="B7" s="4" t="n">
        <v>228</v>
      </c>
      <c r="C7" s="4" t="n">
        <v>428</v>
      </c>
      <c r="D7" s="4" t="n">
        <v>951</v>
      </c>
      <c r="E7" s="4" t="n">
        <v>1700</v>
      </c>
    </row>
    <row r="8">
      <c r="A8" s="4" t="inlineStr">
        <is>
          <t>腕部</t>
        </is>
      </c>
      <c r="B8" s="4" t="n">
        <v>145</v>
      </c>
      <c r="C8" s="4" t="n">
        <v>272</v>
      </c>
      <c r="D8" s="4" t="n">
        <v>605</v>
      </c>
      <c r="E8" s="4" t="n">
        <v>1082</v>
      </c>
    </row>
    <row r="9">
      <c r="A9" s="4" t="inlineStr">
        <is>
          <t>手部</t>
        </is>
      </c>
      <c r="B9" s="4" t="n">
        <v>207</v>
      </c>
      <c r="C9" s="4" t="n">
        <v>389</v>
      </c>
      <c r="D9" s="4" t="n">
        <v>865</v>
      </c>
      <c r="E9" s="4" t="n">
        <v>1545</v>
      </c>
    </row>
    <row r="10">
      <c r="A10" s="2" t="n"/>
      <c r="B10" s="2" t="n"/>
      <c r="C10" s="2" t="n"/>
      <c r="D10" s="2" t="n"/>
      <c r="E10" s="2" t="n"/>
    </row>
    <row r="11">
      <c r="A11" s="2" t="inlineStr">
        <is>
          <t>披风</t>
        </is>
      </c>
      <c r="B11" s="2" t="n">
        <v>166</v>
      </c>
      <c r="C11" s="2" t="n"/>
      <c r="D11" s="2" t="n"/>
      <c r="E11" s="2" t="n"/>
    </row>
    <row r="12">
      <c r="A12" s="2" t="inlineStr">
        <is>
          <t>盾牌</t>
        </is>
      </c>
      <c r="B12" s="2" t="n">
        <v>8309</v>
      </c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inlineStr">
        <is>
          <t>来源</t>
        </is>
      </c>
      <c r="B14" s="2" t="inlineStr">
        <is>
          <t>本地 acore_world.item_template，Quality=4，ItemLevel=245</t>
        </is>
      </c>
      <c r="C14" s="2" t="n"/>
      <c r="D14" s="2" t="n"/>
      <c r="E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2026-08-14T07:08:17Z</dcterms:created>
  <dcterms:modified xsi:type="dcterms:W3CDTF">2026-08-14T07:08:18Z</dcterms:modified>
</cp:coreProperties>
</file>